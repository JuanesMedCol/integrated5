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/>
  <xr:revisionPtr revIDLastSave="0" documentId="13_ncr:1_{473D10D0-4049-4A2A-843A-CD3B7A3603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" sheetId="11" r:id="rId1"/>
  </sheets>
  <definedNames>
    <definedName name="hoy" localSheetId="0">TODAY()</definedName>
    <definedName name="Inicio_del_proyecto">Gantt!$D$3</definedName>
    <definedName name="Semana_para_mostrar">Gantt!$D$4</definedName>
    <definedName name="task_end" localSheetId="0">Gantt!$E1</definedName>
    <definedName name="task_progress" localSheetId="0">Gantt!$C1</definedName>
    <definedName name="task_start" localSheetId="0">Gantt!$D1</definedName>
    <definedName name="_xlnm.Print_Titles" localSheetId="0">Gantt!$4:$6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1" l="1"/>
  <c r="F15" i="11"/>
  <c r="F7" i="11"/>
  <c r="D9" i="11" l="1"/>
  <c r="E9" i="11" s="1"/>
  <c r="F24" i="11" l="1"/>
  <c r="G5" i="11"/>
  <c r="F23" i="11"/>
  <c r="F22" i="11"/>
  <c r="F16" i="11"/>
  <c r="F8" i="11"/>
  <c r="F9" i="11" l="1"/>
  <c r="G6" i="11"/>
  <c r="F27" i="11" l="1"/>
  <c r="F10" i="11"/>
  <c r="F17" i="11"/>
  <c r="H5" i="11"/>
  <c r="I5" i="11" s="1"/>
  <c r="J5" i="11" s="1"/>
  <c r="K5" i="11" s="1"/>
  <c r="L5" i="11" s="1"/>
  <c r="M5" i="11" s="1"/>
  <c r="N5" i="11" s="1"/>
  <c r="G4" i="11"/>
  <c r="F25" i="11" l="1"/>
  <c r="F26" i="11"/>
  <c r="F18" i="11"/>
  <c r="F11" i="11"/>
  <c r="N4" i="11"/>
  <c r="O5" i="11"/>
  <c r="P5" i="11" s="1"/>
  <c r="Q5" i="11" s="1"/>
  <c r="R5" i="11" s="1"/>
  <c r="S5" i="11" s="1"/>
  <c r="T5" i="11" s="1"/>
  <c r="U5" i="11" s="1"/>
  <c r="H6" i="11"/>
  <c r="F12" i="11" l="1"/>
  <c r="F13" i="11"/>
  <c r="F21" i="11"/>
  <c r="F20" i="11"/>
  <c r="F19" i="11"/>
  <c r="U4" i="11"/>
  <c r="V5" i="11"/>
  <c r="W5" i="11" s="1"/>
  <c r="X5" i="11" s="1"/>
  <c r="Y5" i="11" s="1"/>
  <c r="Z5" i="11" s="1"/>
  <c r="AA5" i="11" s="1"/>
  <c r="AB5" i="11" s="1"/>
  <c r="I6" i="11"/>
  <c r="AC5" i="11" l="1"/>
  <c r="AD5" i="11" s="1"/>
  <c r="AE5" i="11" s="1"/>
  <c r="AF5" i="11" s="1"/>
  <c r="AG5" i="11" s="1"/>
  <c r="AH5" i="11" s="1"/>
  <c r="AB4" i="11"/>
  <c r="J6" i="11"/>
  <c r="AI5" i="11" l="1"/>
  <c r="AJ5" i="11" s="1"/>
  <c r="AK5" i="11" s="1"/>
  <c r="AL5" i="11" s="1"/>
  <c r="AM5" i="11" s="1"/>
  <c r="AN5" i="11" s="1"/>
  <c r="AO5" i="11" s="1"/>
  <c r="K6" i="11"/>
  <c r="AP5" i="11" l="1"/>
  <c r="AQ5" i="11" s="1"/>
  <c r="AI4" i="11"/>
  <c r="L6" i="11"/>
  <c r="AR5" i="11" l="1"/>
  <c r="AQ6" i="11"/>
  <c r="AP4" i="11"/>
  <c r="M6" i="11"/>
  <c r="AS5" i="11" l="1"/>
  <c r="AR6" i="11"/>
  <c r="AT5" i="11" l="1"/>
  <c r="AS6" i="11"/>
  <c r="N6" i="11"/>
  <c r="O6" i="11"/>
  <c r="AU5" i="11" l="1"/>
  <c r="AT6" i="11"/>
  <c r="P6" i="11"/>
  <c r="AV5" i="11" l="1"/>
  <c r="AW5" i="11" s="1"/>
  <c r="AU6" i="11"/>
  <c r="AX5" i="11" l="1"/>
  <c r="AW4" i="11"/>
  <c r="Q6" i="11" s="1"/>
  <c r="AV6" i="11"/>
  <c r="R6" i="11"/>
  <c r="AW6" i="11" l="1"/>
  <c r="AY5" i="11"/>
  <c r="AX6" i="11"/>
  <c r="S6" i="11"/>
  <c r="AY6" i="11" l="1"/>
  <c r="AZ5" i="11"/>
  <c r="T6" i="11"/>
  <c r="AZ6" i="11" l="1"/>
  <c r="BA5" i="11"/>
  <c r="U6" i="11"/>
  <c r="BA6" i="11" l="1"/>
  <c r="BB5" i="11"/>
  <c r="V6" i="11"/>
  <c r="BC5" i="11" l="1"/>
  <c r="BB6" i="11"/>
  <c r="W6" i="11"/>
  <c r="BC6" i="11" l="1"/>
  <c r="BD5" i="11"/>
  <c r="BD6" i="11" l="1"/>
  <c r="BE5" i="11"/>
  <c r="BD4" i="11"/>
  <c r="X6" i="11" s="1"/>
  <c r="Y6" i="11"/>
  <c r="BE6" i="11" l="1"/>
  <c r="BF5" i="11"/>
  <c r="Z6" i="11"/>
  <c r="BG5" i="11" l="1"/>
  <c r="BF6" i="11"/>
  <c r="AA6" i="11"/>
  <c r="BH5" i="11" l="1"/>
  <c r="BG6" i="11"/>
  <c r="AB6" i="11"/>
  <c r="BI5" i="11" l="1"/>
  <c r="BH6" i="11"/>
  <c r="AC6" i="11"/>
  <c r="BJ5" i="11" l="1"/>
  <c r="BI6" i="11"/>
  <c r="AD6" i="11"/>
  <c r="BJ6" i="11" l="1"/>
  <c r="AE6" i="11"/>
  <c r="AF6" i="11" l="1"/>
  <c r="AG6" i="11" l="1"/>
  <c r="AH6" i="11" l="1"/>
  <c r="AI6" i="11" l="1"/>
  <c r="AJ6" i="11" l="1"/>
  <c r="AK6" i="11" l="1"/>
  <c r="AL6" i="11" l="1"/>
  <c r="AM6" i="11" l="1"/>
  <c r="AN6" i="11" l="1"/>
  <c r="AO6" i="11" l="1"/>
  <c r="AP6" i="11" l="1"/>
</calcChain>
</file>

<file path=xl/sharedStrings.xml><?xml version="1.0" encoding="utf-8"?>
<sst xmlns="http://schemas.openxmlformats.org/spreadsheetml/2006/main" count="48" uniqueCount="27">
  <si>
    <t>TAREA</t>
  </si>
  <si>
    <t>Tarea 1</t>
  </si>
  <si>
    <t>Tarea 2</t>
  </si>
  <si>
    <t>Tarea 3</t>
  </si>
  <si>
    <t>Tarea 4</t>
  </si>
  <si>
    <t>Tarea 5</t>
  </si>
  <si>
    <t>Inicio del proyecto:</t>
  </si>
  <si>
    <t>Semana para mostrar:</t>
  </si>
  <si>
    <t>ASIGNADO
A</t>
  </si>
  <si>
    <t>PROGRESO</t>
  </si>
  <si>
    <t>INICIO</t>
  </si>
  <si>
    <t>FIN</t>
  </si>
  <si>
    <t>DÍAS</t>
  </si>
  <si>
    <t>Etapa 1 – Formulación y BD (EA1)</t>
  </si>
  <si>
    <t>Etapa 2 – Análisis y visualización (EA2)</t>
  </si>
  <si>
    <t>Juan Esteban</t>
  </si>
  <si>
    <t xml:space="preserve">Estudio inicial de metodologia </t>
  </si>
  <si>
    <t>Selección del tema y fuentes</t>
  </si>
  <si>
    <t>Descarga y organización de datasets</t>
  </si>
  <si>
    <t xml:space="preserve">Limpieza y normalización </t>
  </si>
  <si>
    <t>Integración y creación de modelo ETL</t>
  </si>
  <si>
    <t>Carga SQLite + QA</t>
  </si>
  <si>
    <t>Elaboración Documento APA (Etapa 1)</t>
  </si>
  <si>
    <t>Análisis Económico Global (1960–2023)</t>
  </si>
  <si>
    <t>Proyecto Integrador 5</t>
  </si>
  <si>
    <t>Juan Esteban Atehortúa Sánchez</t>
  </si>
  <si>
    <t>Etapa 3 – Interpretación y entrega final (EA3)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</si>
</sst>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dd\,\ m/d/yyyy"/>
    <numFmt numFmtId="169" formatCode="[$-C0A]d\ &quot;de&quot;\ mmmm\ &quot;de&quot;\ yyyy;@"/>
    <numFmt numFmtId="170" formatCode="d\-m\-yy;@"/>
    <numFmt numFmtId="171" formatCode="d"/>
    <numFmt numFmtId="172" formatCode="dddd\,\ d/mm/yyyy"/>
  </numFmts>
  <fonts count="29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0" fontId="14" fillId="0" borderId="0"/>
    <xf numFmtId="167" fontId="7" fillId="0" borderId="3" applyFont="0" applyFill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Alignment="0" applyProtection="0"/>
    <xf numFmtId="0" fontId="8" fillId="0" borderId="0" applyNumberFormat="0" applyFill="0" applyProtection="0">
      <alignment vertical="top"/>
    </xf>
    <xf numFmtId="0" fontId="7" fillId="0" borderId="0" applyNumberFormat="0" applyFill="0" applyProtection="0">
      <alignment horizontal="right" indent="1"/>
    </xf>
    <xf numFmtId="168" fontId="7" fillId="0" borderId="3">
      <alignment horizontal="center" vertical="center"/>
    </xf>
    <xf numFmtId="170" fontId="7" fillId="0" borderId="2" applyFill="0">
      <alignment horizontal="center" vertical="center"/>
    </xf>
    <xf numFmtId="0" fontId="7" fillId="0" borderId="2" applyFill="0">
      <alignment horizontal="center" vertical="center"/>
    </xf>
    <xf numFmtId="0" fontId="7" fillId="0" borderId="2" applyFill="0">
      <alignment horizontal="left" vertical="center" indent="2"/>
    </xf>
    <xf numFmtId="0" fontId="17" fillId="0" borderId="0" applyNumberForma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11" applyNumberFormat="0" applyAlignment="0" applyProtection="0"/>
    <xf numFmtId="0" fontId="23" fillId="15" borderId="12" applyNumberFormat="0" applyAlignment="0" applyProtection="0"/>
    <xf numFmtId="0" fontId="24" fillId="15" borderId="11" applyNumberFormat="0" applyAlignment="0" applyProtection="0"/>
    <xf numFmtId="0" fontId="25" fillId="0" borderId="13" applyNumberFormat="0" applyFill="0" applyAlignment="0" applyProtection="0"/>
    <xf numFmtId="0" fontId="26" fillId="16" borderId="14" applyNumberFormat="0" applyAlignment="0" applyProtection="0"/>
    <xf numFmtId="0" fontId="27" fillId="0" borderId="0" applyNumberFormat="0" applyFill="0" applyBorder="0" applyAlignment="0" applyProtection="0"/>
    <xf numFmtId="0" fontId="7" fillId="17" borderId="15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6" applyNumberFormat="0" applyFill="0" applyAlignment="0" applyProtection="0"/>
    <xf numFmtId="0" fontId="14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14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14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14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14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14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shrinkToFit="1"/>
    </xf>
    <xf numFmtId="0" fontId="12" fillId="0" borderId="0" xfId="0" applyFont="1"/>
    <xf numFmtId="0" fontId="13" fillId="0" borderId="0" xfId="1" applyFont="1" applyAlignment="1" applyProtection="1"/>
    <xf numFmtId="0" fontId="4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9" fontId="4" fillId="6" borderId="2" xfId="2" applyFont="1" applyFill="1" applyBorder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9" fontId="4" fillId="7" borderId="2" xfId="2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9" fontId="4" fillId="4" borderId="2" xfId="2" applyFont="1" applyFill="1" applyBorder="1" applyAlignment="1">
      <alignment horizontal="center" vertical="center"/>
    </xf>
    <xf numFmtId="9" fontId="4" fillId="8" borderId="2" xfId="2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wrapText="1"/>
    </xf>
    <xf numFmtId="0" fontId="11" fillId="0" borderId="0" xfId="5" applyAlignment="1">
      <alignment horizontal="left"/>
    </xf>
    <xf numFmtId="0" fontId="8" fillId="0" borderId="0" xfId="6"/>
    <xf numFmtId="0" fontId="8" fillId="0" borderId="0" xfId="7">
      <alignment vertical="top"/>
    </xf>
    <xf numFmtId="0" fontId="7" fillId="6" borderId="2" xfId="11" applyFill="1">
      <alignment horizontal="center" vertical="center"/>
    </xf>
    <xf numFmtId="0" fontId="7" fillId="2" borderId="2" xfId="11" applyFill="1">
      <alignment horizontal="center" vertical="center"/>
    </xf>
    <xf numFmtId="0" fontId="7" fillId="7" borderId="2" xfId="11" applyFill="1">
      <alignment horizontal="center" vertical="center"/>
    </xf>
    <xf numFmtId="0" fontId="7" fillId="3" borderId="2" xfId="11" applyFill="1">
      <alignment horizontal="center" vertical="center"/>
    </xf>
    <xf numFmtId="0" fontId="7" fillId="4" borderId="2" xfId="11" applyFill="1">
      <alignment horizontal="center" vertical="center"/>
    </xf>
    <xf numFmtId="0" fontId="7" fillId="8" borderId="2" xfId="11" applyFill="1">
      <alignment horizontal="center" vertical="center"/>
    </xf>
    <xf numFmtId="0" fontId="7" fillId="2" borderId="2" xfId="12" applyFill="1">
      <alignment horizontal="left" vertical="center" indent="2"/>
    </xf>
    <xf numFmtId="0" fontId="7" fillId="3" borderId="2" xfId="12" applyFill="1">
      <alignment horizontal="left" vertical="center" indent="2"/>
    </xf>
    <xf numFmtId="0" fontId="7" fillId="8" borderId="2" xfId="12" applyFill="1">
      <alignment horizontal="left" vertical="center" indent="2"/>
    </xf>
    <xf numFmtId="0" fontId="0" fillId="0" borderId="10" xfId="0" applyBorder="1"/>
    <xf numFmtId="0" fontId="15" fillId="0" borderId="0" xfId="0" applyFont="1"/>
    <xf numFmtId="0" fontId="16" fillId="0" borderId="0" xfId="1" applyFont="1" applyProtection="1">
      <alignment vertical="top"/>
    </xf>
    <xf numFmtId="171" fontId="9" fillId="5" borderId="6" xfId="0" applyNumberFormat="1" applyFont="1" applyFill="1" applyBorder="1" applyAlignment="1">
      <alignment horizontal="center" vertical="center"/>
    </xf>
    <xf numFmtId="171" fontId="9" fillId="5" borderId="0" xfId="0" applyNumberFormat="1" applyFont="1" applyFill="1" applyAlignment="1">
      <alignment horizontal="center" vertical="center"/>
    </xf>
    <xf numFmtId="171" fontId="9" fillId="5" borderId="7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6" fillId="10" borderId="1" xfId="0" applyNumberFormat="1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7" fillId="2" borderId="2" xfId="10" applyNumberFormat="1" applyFill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14" fontId="7" fillId="3" borderId="2" xfId="10" applyNumberFormat="1" applyFill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14" fontId="7" fillId="8" borderId="2" xfId="10" applyNumberFormat="1" applyFill="1">
      <alignment horizontal="center" vertical="center"/>
    </xf>
    <xf numFmtId="0" fontId="7" fillId="0" borderId="0" xfId="8">
      <alignment horizontal="right" indent="1"/>
    </xf>
    <xf numFmtId="0" fontId="7" fillId="0" borderId="7" xfId="8" applyBorder="1">
      <alignment horizontal="right" indent="1"/>
    </xf>
    <xf numFmtId="169" fontId="0" fillId="5" borderId="4" xfId="0" applyNumberFormat="1" applyFill="1" applyBorder="1" applyAlignment="1">
      <alignment horizontal="left" vertical="center" wrapText="1" indent="1"/>
    </xf>
    <xf numFmtId="169" fontId="0" fillId="5" borderId="1" xfId="0" applyNumberFormat="1" applyFill="1" applyBorder="1" applyAlignment="1">
      <alignment horizontal="left" vertical="center" wrapText="1" indent="1"/>
    </xf>
    <xf numFmtId="169" fontId="0" fillId="5" borderId="5" xfId="0" applyNumberFormat="1" applyFill="1" applyBorder="1" applyAlignment="1">
      <alignment horizontal="left" vertical="center" wrapText="1" indent="1"/>
    </xf>
    <xf numFmtId="172" fontId="7" fillId="0" borderId="3" xfId="9" applyNumberFormat="1">
      <alignment horizontal="center" vertical="center"/>
    </xf>
  </cellXfs>
  <cellStyles count="54">
    <cellStyle name="20% - Énfasis1" xfId="31" builtinId="30" customBuiltin="1"/>
    <cellStyle name="20% - Énfasis2" xfId="35" builtinId="34" customBuiltin="1"/>
    <cellStyle name="20% - Énfasis3" xfId="39" builtinId="38" customBuiltin="1"/>
    <cellStyle name="20% - Énfasis4" xfId="43" builtinId="42" customBuiltin="1"/>
    <cellStyle name="20% - Énfasis5" xfId="47" builtinId="46" customBuiltin="1"/>
    <cellStyle name="20% - Énfasis6" xfId="51" builtinId="50" customBuiltin="1"/>
    <cellStyle name="40% - Énfasis1" xfId="32" builtinId="31" customBuiltin="1"/>
    <cellStyle name="40% - Énfasis2" xfId="36" builtinId="35" customBuiltin="1"/>
    <cellStyle name="40% - Énfasis3" xfId="40" builtinId="39" customBuiltin="1"/>
    <cellStyle name="40% - Énfasis4" xfId="44" builtinId="43" customBuiltin="1"/>
    <cellStyle name="40% - Énfasis5" xfId="48" builtinId="47" customBuiltin="1"/>
    <cellStyle name="40% - Énfasis6" xfId="52" builtinId="51" customBuiltin="1"/>
    <cellStyle name="60% - Énfasis1" xfId="33" builtinId="32" customBuiltin="1"/>
    <cellStyle name="60% - Énfasis2" xfId="37" builtinId="36" customBuiltin="1"/>
    <cellStyle name="60% - Énfasis3" xfId="41" builtinId="40" customBuiltin="1"/>
    <cellStyle name="60% - Énfasis4" xfId="45" builtinId="44" customBuiltin="1"/>
    <cellStyle name="60% - Énfasis5" xfId="49" builtinId="48" customBuiltin="1"/>
    <cellStyle name="60% - Énfasis6" xfId="53" builtinId="52" customBuiltin="1"/>
    <cellStyle name="Bueno" xfId="18" builtinId="26" customBuiltin="1"/>
    <cellStyle name="Cálculo" xfId="23" builtinId="22" customBuiltin="1"/>
    <cellStyle name="Celda de comprobación" xfId="25" builtinId="23" customBuiltin="1"/>
    <cellStyle name="Celda vinculada" xfId="24" builtinId="24" customBuiltin="1"/>
    <cellStyle name="Encabezado 1" xfId="6" builtinId="16" customBuiltin="1"/>
    <cellStyle name="Encabezado 4" xfId="17" builtinId="19" customBuiltin="1"/>
    <cellStyle name="Énfasis1" xfId="30" builtinId="29" customBuiltin="1"/>
    <cellStyle name="Énfasis2" xfId="34" builtinId="33" customBuiltin="1"/>
    <cellStyle name="Énfasis3" xfId="38" builtinId="37" customBuiltin="1"/>
    <cellStyle name="Énfasis4" xfId="42" builtinId="41" customBuiltin="1"/>
    <cellStyle name="Énfasis5" xfId="46" builtinId="45" customBuiltin="1"/>
    <cellStyle name="Énfasis6" xfId="50" builtinId="49" customBuiltin="1"/>
    <cellStyle name="Entrada" xfId="21" builtinId="20" customBuiltin="1"/>
    <cellStyle name="Fecha" xfId="10" xr:uid="{229918B6-DD13-4F5A-97B9-305F7E002AA3}"/>
    <cellStyle name="Hipervínculo" xfId="1" builtinId="8" customBuiltin="1"/>
    <cellStyle name="Hipervínculo visitado" xfId="13" builtinId="9" customBuiltin="1"/>
    <cellStyle name="Incorrecto" xfId="19" builtinId="27" customBuiltin="1"/>
    <cellStyle name="Inicio del proyecto" xfId="9" xr:uid="{8EB8A09A-C31C-40A3-B2C1-9449520178B8}"/>
    <cellStyle name="Millares" xfId="4" builtinId="3" customBuiltin="1"/>
    <cellStyle name="Millares [0]" xfId="14" builtinId="6" customBuiltin="1"/>
    <cellStyle name="Moneda" xfId="15" builtinId="4" customBuiltin="1"/>
    <cellStyle name="Moneda [0]" xfId="16" builtinId="7" customBuiltin="1"/>
    <cellStyle name="Neutral" xfId="20" builtinId="28" customBuiltin="1"/>
    <cellStyle name="Nombre" xfId="11" xr:uid="{B2D3C1EE-6B41-4801-AAFC-C2274E49E503}"/>
    <cellStyle name="Normal" xfId="0" builtinId="0" customBuiltin="1"/>
    <cellStyle name="Notas" xfId="27" builtinId="10" customBuiltin="1"/>
    <cellStyle name="Porcentaje" xfId="2" builtinId="5" customBuiltin="1"/>
    <cellStyle name="Salida" xfId="22" builtinId="21" customBuiltin="1"/>
    <cellStyle name="Tarea" xfId="12" xr:uid="{6391D789-272B-4DD2-9BF3-2CDCF610FA41}"/>
    <cellStyle name="Texto de advertencia" xfId="26" builtinId="11" customBuiltin="1"/>
    <cellStyle name="Texto explicativo" xfId="28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9" builtinId="25" customBuiltin="1"/>
    <cellStyle name="zTextoOculto" xfId="3" xr:uid="{26E66EE6-E33F-4D77-BAE4-0FB4F5BBF673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TareasPendientes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J30"/>
  <sheetViews>
    <sheetView showGridLines="0" tabSelected="1" showRuler="0" zoomScaleNormal="100" zoomScalePageLayoutView="70" workbookViewId="0">
      <pane ySplit="6" topLeftCell="A8" activePane="bottomLeft" state="frozen"/>
      <selection pane="bottomLeft" sqref="A1:A1048576"/>
    </sheetView>
  </sheetViews>
  <sheetFormatPr baseColWidth="10" defaultColWidth="9.140625" defaultRowHeight="30" customHeight="1" x14ac:dyDescent="0.25"/>
  <cols>
    <col min="1" max="1" width="39" customWidth="1"/>
    <col min="2" max="2" width="17.28515625" customWidth="1"/>
    <col min="3" max="3" width="10.7109375" customWidth="1"/>
    <col min="4" max="4" width="12.7109375" style="5" customWidth="1"/>
    <col min="5" max="5" width="12.7109375" customWidth="1"/>
    <col min="6" max="6" width="8.7109375" customWidth="1"/>
    <col min="7" max="62" width="3.42578125" customWidth="1"/>
    <col min="67" max="68" width="10.28515625"/>
  </cols>
  <sheetData>
    <row r="1" spans="1:62" ht="30" customHeight="1" x14ac:dyDescent="0.45">
      <c r="A1" s="27" t="s">
        <v>23</v>
      </c>
      <c r="B1" s="1"/>
      <c r="C1" s="2"/>
      <c r="D1" s="4"/>
      <c r="E1" s="24"/>
      <c r="F1" s="2"/>
      <c r="G1" s="40"/>
    </row>
    <row r="2" spans="1:62" ht="30" customHeight="1" x14ac:dyDescent="0.3">
      <c r="A2" s="28" t="s">
        <v>24</v>
      </c>
      <c r="G2" s="41"/>
    </row>
    <row r="3" spans="1:62" ht="30" customHeight="1" x14ac:dyDescent="0.25">
      <c r="A3" s="29" t="s">
        <v>25</v>
      </c>
      <c r="B3" s="56" t="s">
        <v>6</v>
      </c>
      <c r="C3" s="57"/>
      <c r="D3" s="61">
        <v>45950</v>
      </c>
      <c r="E3" s="61"/>
    </row>
    <row r="4" spans="1:62" ht="30" customHeight="1" x14ac:dyDescent="0.25">
      <c r="B4" s="56" t="s">
        <v>7</v>
      </c>
      <c r="C4" s="57"/>
      <c r="D4" s="6">
        <v>1</v>
      </c>
      <c r="G4" s="58">
        <f>G5</f>
        <v>45950</v>
      </c>
      <c r="H4" s="59"/>
      <c r="I4" s="59"/>
      <c r="J4" s="59"/>
      <c r="K4" s="59"/>
      <c r="L4" s="59"/>
      <c r="M4" s="60"/>
      <c r="N4" s="58">
        <f>N5</f>
        <v>45957</v>
      </c>
      <c r="O4" s="59"/>
      <c r="P4" s="59"/>
      <c r="Q4" s="59"/>
      <c r="R4" s="59"/>
      <c r="S4" s="59"/>
      <c r="T4" s="60"/>
      <c r="U4" s="58">
        <f>U5</f>
        <v>45964</v>
      </c>
      <c r="V4" s="59"/>
      <c r="W4" s="59"/>
      <c r="X4" s="59"/>
      <c r="Y4" s="59"/>
      <c r="Z4" s="59"/>
      <c r="AA4" s="60"/>
      <c r="AB4" s="58">
        <f>AB5</f>
        <v>45971</v>
      </c>
      <c r="AC4" s="59"/>
      <c r="AD4" s="59"/>
      <c r="AE4" s="59"/>
      <c r="AF4" s="59"/>
      <c r="AG4" s="59"/>
      <c r="AH4" s="60"/>
      <c r="AI4" s="58">
        <f>AI5</f>
        <v>45978</v>
      </c>
      <c r="AJ4" s="59"/>
      <c r="AK4" s="59"/>
      <c r="AL4" s="59"/>
      <c r="AM4" s="59"/>
      <c r="AN4" s="59"/>
      <c r="AO4" s="60"/>
      <c r="AP4" s="58">
        <f>AP5</f>
        <v>45985</v>
      </c>
      <c r="AQ4" s="59"/>
      <c r="AR4" s="59"/>
      <c r="AS4" s="59"/>
      <c r="AT4" s="59"/>
      <c r="AU4" s="59"/>
      <c r="AV4" s="60"/>
      <c r="AW4" s="58">
        <f>AW5</f>
        <v>45992</v>
      </c>
      <c r="AX4" s="59"/>
      <c r="AY4" s="59"/>
      <c r="AZ4" s="59"/>
      <c r="BA4" s="59"/>
      <c r="BB4" s="59"/>
      <c r="BC4" s="60"/>
      <c r="BD4" s="58">
        <f>BD5</f>
        <v>45999</v>
      </c>
      <c r="BE4" s="59"/>
      <c r="BF4" s="59"/>
      <c r="BG4" s="59"/>
      <c r="BH4" s="59"/>
      <c r="BI4" s="59"/>
      <c r="BJ4" s="60"/>
    </row>
    <row r="5" spans="1:62" ht="15" customHeight="1" x14ac:dyDescent="0.25">
      <c r="A5" s="39"/>
      <c r="B5" s="39"/>
      <c r="C5" s="39"/>
      <c r="D5" s="39"/>
      <c r="E5" s="39"/>
      <c r="G5" s="42">
        <f>Inicio_del_proyecto-WEEKDAY(Inicio_del_proyecto,1)+2+7*(Semana_para_mostrar-1)</f>
        <v>45950</v>
      </c>
      <c r="H5" s="43">
        <f>G5+1</f>
        <v>45951</v>
      </c>
      <c r="I5" s="43">
        <f t="shared" ref="I5:AV5" si="0">H5+1</f>
        <v>45952</v>
      </c>
      <c r="J5" s="43">
        <f t="shared" si="0"/>
        <v>45953</v>
      </c>
      <c r="K5" s="43">
        <f t="shared" si="0"/>
        <v>45954</v>
      </c>
      <c r="L5" s="43">
        <f t="shared" si="0"/>
        <v>45955</v>
      </c>
      <c r="M5" s="44">
        <f t="shared" si="0"/>
        <v>45956</v>
      </c>
      <c r="N5" s="42">
        <f>M5+1</f>
        <v>45957</v>
      </c>
      <c r="O5" s="43">
        <f>N5+1</f>
        <v>45958</v>
      </c>
      <c r="P5" s="43">
        <f t="shared" si="0"/>
        <v>45959</v>
      </c>
      <c r="Q5" s="43">
        <f t="shared" si="0"/>
        <v>45960</v>
      </c>
      <c r="R5" s="43">
        <f t="shared" si="0"/>
        <v>45961</v>
      </c>
      <c r="S5" s="43">
        <f t="shared" si="0"/>
        <v>45962</v>
      </c>
      <c r="T5" s="44">
        <f t="shared" si="0"/>
        <v>45963</v>
      </c>
      <c r="U5" s="42">
        <f>T5+1</f>
        <v>45964</v>
      </c>
      <c r="V5" s="43">
        <f>U5+1</f>
        <v>45965</v>
      </c>
      <c r="W5" s="43">
        <f t="shared" si="0"/>
        <v>45966</v>
      </c>
      <c r="X5" s="43">
        <f t="shared" si="0"/>
        <v>45967</v>
      </c>
      <c r="Y5" s="43">
        <f t="shared" si="0"/>
        <v>45968</v>
      </c>
      <c r="Z5" s="43">
        <f t="shared" si="0"/>
        <v>45969</v>
      </c>
      <c r="AA5" s="44">
        <f t="shared" si="0"/>
        <v>45970</v>
      </c>
      <c r="AB5" s="42">
        <f>AA5+1</f>
        <v>45971</v>
      </c>
      <c r="AC5" s="43">
        <f>AB5+1</f>
        <v>45972</v>
      </c>
      <c r="AD5" s="43">
        <f t="shared" si="0"/>
        <v>45973</v>
      </c>
      <c r="AE5" s="43">
        <f t="shared" si="0"/>
        <v>45974</v>
      </c>
      <c r="AF5" s="43">
        <f t="shared" si="0"/>
        <v>45975</v>
      </c>
      <c r="AG5" s="43">
        <f t="shared" si="0"/>
        <v>45976</v>
      </c>
      <c r="AH5" s="44">
        <f t="shared" si="0"/>
        <v>45977</v>
      </c>
      <c r="AI5" s="42">
        <f>AH5+1</f>
        <v>45978</v>
      </c>
      <c r="AJ5" s="43">
        <f>AI5+1</f>
        <v>45979</v>
      </c>
      <c r="AK5" s="43">
        <f t="shared" si="0"/>
        <v>45980</v>
      </c>
      <c r="AL5" s="43">
        <f t="shared" si="0"/>
        <v>45981</v>
      </c>
      <c r="AM5" s="43">
        <f t="shared" si="0"/>
        <v>45982</v>
      </c>
      <c r="AN5" s="43">
        <f t="shared" si="0"/>
        <v>45983</v>
      </c>
      <c r="AO5" s="44">
        <f t="shared" si="0"/>
        <v>45984</v>
      </c>
      <c r="AP5" s="42">
        <f>AO5+1</f>
        <v>45985</v>
      </c>
      <c r="AQ5" s="43">
        <f>AP5+1</f>
        <v>45986</v>
      </c>
      <c r="AR5" s="43">
        <f t="shared" si="0"/>
        <v>45987</v>
      </c>
      <c r="AS5" s="43">
        <f t="shared" si="0"/>
        <v>45988</v>
      </c>
      <c r="AT5" s="43">
        <f t="shared" si="0"/>
        <v>45989</v>
      </c>
      <c r="AU5" s="43">
        <f t="shared" si="0"/>
        <v>45990</v>
      </c>
      <c r="AV5" s="44">
        <f t="shared" si="0"/>
        <v>45991</v>
      </c>
      <c r="AW5" s="42">
        <f>AV5+1</f>
        <v>45992</v>
      </c>
      <c r="AX5" s="43">
        <f>AW5+1</f>
        <v>45993</v>
      </c>
      <c r="AY5" s="43">
        <f t="shared" ref="AY5:BC5" si="1">AX5+1</f>
        <v>45994</v>
      </c>
      <c r="AZ5" s="43">
        <f t="shared" si="1"/>
        <v>45995</v>
      </c>
      <c r="BA5" s="43">
        <f t="shared" si="1"/>
        <v>45996</v>
      </c>
      <c r="BB5" s="43">
        <f t="shared" si="1"/>
        <v>45997</v>
      </c>
      <c r="BC5" s="44">
        <f t="shared" si="1"/>
        <v>45998</v>
      </c>
      <c r="BD5" s="42">
        <f>BC5+1</f>
        <v>45999</v>
      </c>
      <c r="BE5" s="43">
        <f>BD5+1</f>
        <v>46000</v>
      </c>
      <c r="BF5" s="43">
        <f t="shared" ref="BF5:BJ5" si="2">BE5+1</f>
        <v>46001</v>
      </c>
      <c r="BG5" s="43">
        <f t="shared" si="2"/>
        <v>46002</v>
      </c>
      <c r="BH5" s="43">
        <f t="shared" si="2"/>
        <v>46003</v>
      </c>
      <c r="BI5" s="43">
        <f t="shared" si="2"/>
        <v>46004</v>
      </c>
      <c r="BJ5" s="44">
        <f t="shared" si="2"/>
        <v>46005</v>
      </c>
    </row>
    <row r="6" spans="1:62" ht="30" customHeight="1" thickBot="1" x14ac:dyDescent="0.3">
      <c r="A6" s="7" t="s">
        <v>0</v>
      </c>
      <c r="B6" s="8" t="s">
        <v>8</v>
      </c>
      <c r="C6" s="8" t="s">
        <v>9</v>
      </c>
      <c r="D6" s="46" t="s">
        <v>10</v>
      </c>
      <c r="E6" s="46" t="s">
        <v>11</v>
      </c>
      <c r="F6" s="8" t="s">
        <v>12</v>
      </c>
      <c r="G6" s="9" t="str">
        <f t="shared" ref="G6" si="3">LEFT(TEXT(G5,"ddd"),1)</f>
        <v>l</v>
      </c>
      <c r="H6" s="9" t="str">
        <f t="shared" ref="H6:AP6" si="4">LEFT(TEXT(H5,"ddd"),1)</f>
        <v>m</v>
      </c>
      <c r="I6" s="9" t="str">
        <f t="shared" si="4"/>
        <v>m</v>
      </c>
      <c r="J6" s="9" t="str">
        <f t="shared" si="4"/>
        <v>j</v>
      </c>
      <c r="K6" s="9" t="str">
        <f t="shared" si="4"/>
        <v>v</v>
      </c>
      <c r="L6" s="9" t="str">
        <f t="shared" si="4"/>
        <v>s</v>
      </c>
      <c r="M6" s="9" t="str">
        <f t="shared" si="4"/>
        <v>d</v>
      </c>
      <c r="N6" s="9" t="str">
        <f t="shared" si="4"/>
        <v>l</v>
      </c>
      <c r="O6" s="9" t="str">
        <f t="shared" si="4"/>
        <v>m</v>
      </c>
      <c r="P6" s="9" t="str">
        <f t="shared" si="4"/>
        <v>m</v>
      </c>
      <c r="Q6" s="9" t="str">
        <f t="shared" si="4"/>
        <v>j</v>
      </c>
      <c r="R6" s="9" t="str">
        <f t="shared" si="4"/>
        <v>v</v>
      </c>
      <c r="S6" s="9" t="str">
        <f t="shared" si="4"/>
        <v>s</v>
      </c>
      <c r="T6" s="9" t="str">
        <f t="shared" si="4"/>
        <v>d</v>
      </c>
      <c r="U6" s="9" t="str">
        <f t="shared" si="4"/>
        <v>l</v>
      </c>
      <c r="V6" s="9" t="str">
        <f t="shared" si="4"/>
        <v>m</v>
      </c>
      <c r="W6" s="9" t="str">
        <f t="shared" si="4"/>
        <v>m</v>
      </c>
      <c r="X6" s="9" t="str">
        <f t="shared" si="4"/>
        <v>j</v>
      </c>
      <c r="Y6" s="9" t="str">
        <f t="shared" si="4"/>
        <v>v</v>
      </c>
      <c r="Z6" s="9" t="str">
        <f t="shared" si="4"/>
        <v>s</v>
      </c>
      <c r="AA6" s="9" t="str">
        <f t="shared" si="4"/>
        <v>d</v>
      </c>
      <c r="AB6" s="9" t="str">
        <f t="shared" si="4"/>
        <v>l</v>
      </c>
      <c r="AC6" s="9" t="str">
        <f t="shared" si="4"/>
        <v>m</v>
      </c>
      <c r="AD6" s="9" t="str">
        <f t="shared" si="4"/>
        <v>m</v>
      </c>
      <c r="AE6" s="9" t="str">
        <f t="shared" si="4"/>
        <v>j</v>
      </c>
      <c r="AF6" s="9" t="str">
        <f t="shared" si="4"/>
        <v>v</v>
      </c>
      <c r="AG6" s="9" t="str">
        <f t="shared" si="4"/>
        <v>s</v>
      </c>
      <c r="AH6" s="9" t="str">
        <f t="shared" si="4"/>
        <v>d</v>
      </c>
      <c r="AI6" s="9" t="str">
        <f t="shared" si="4"/>
        <v>l</v>
      </c>
      <c r="AJ6" s="9" t="str">
        <f t="shared" si="4"/>
        <v>m</v>
      </c>
      <c r="AK6" s="9" t="str">
        <f t="shared" si="4"/>
        <v>m</v>
      </c>
      <c r="AL6" s="9" t="str">
        <f t="shared" si="4"/>
        <v>j</v>
      </c>
      <c r="AM6" s="9" t="str">
        <f t="shared" si="4"/>
        <v>v</v>
      </c>
      <c r="AN6" s="9" t="str">
        <f t="shared" si="4"/>
        <v>s</v>
      </c>
      <c r="AO6" s="9" t="str">
        <f t="shared" si="4"/>
        <v>d</v>
      </c>
      <c r="AP6" s="9" t="str">
        <f t="shared" si="4"/>
        <v>l</v>
      </c>
      <c r="AQ6" s="9" t="str">
        <f t="shared" ref="AQ6:BJ6" si="5">LEFT(TEXT(AQ5,"ddd"),1)</f>
        <v>m</v>
      </c>
      <c r="AR6" s="9" t="str">
        <f t="shared" si="5"/>
        <v>m</v>
      </c>
      <c r="AS6" s="9" t="str">
        <f t="shared" si="5"/>
        <v>j</v>
      </c>
      <c r="AT6" s="9" t="str">
        <f t="shared" si="5"/>
        <v>v</v>
      </c>
      <c r="AU6" s="9" t="str">
        <f t="shared" si="5"/>
        <v>s</v>
      </c>
      <c r="AV6" s="9" t="str">
        <f t="shared" si="5"/>
        <v>d</v>
      </c>
      <c r="AW6" s="9" t="str">
        <f t="shared" si="5"/>
        <v>l</v>
      </c>
      <c r="AX6" s="9" t="str">
        <f t="shared" si="5"/>
        <v>m</v>
      </c>
      <c r="AY6" s="9" t="str">
        <f t="shared" si="5"/>
        <v>m</v>
      </c>
      <c r="AZ6" s="9" t="str">
        <f t="shared" si="5"/>
        <v>j</v>
      </c>
      <c r="BA6" s="9" t="str">
        <f t="shared" si="5"/>
        <v>v</v>
      </c>
      <c r="BB6" s="9" t="str">
        <f t="shared" si="5"/>
        <v>s</v>
      </c>
      <c r="BC6" s="9" t="str">
        <f t="shared" si="5"/>
        <v>d</v>
      </c>
      <c r="BD6" s="9" t="str">
        <f t="shared" si="5"/>
        <v>l</v>
      </c>
      <c r="BE6" s="9" t="str">
        <f t="shared" si="5"/>
        <v>m</v>
      </c>
      <c r="BF6" s="9" t="str">
        <f t="shared" si="5"/>
        <v>m</v>
      </c>
      <c r="BG6" s="9" t="str">
        <f t="shared" si="5"/>
        <v>j</v>
      </c>
      <c r="BH6" s="9" t="str">
        <f t="shared" si="5"/>
        <v>v</v>
      </c>
      <c r="BI6" s="9" t="str">
        <f t="shared" si="5"/>
        <v>s</v>
      </c>
      <c r="BJ6" s="9" t="str">
        <f t="shared" si="5"/>
        <v>d</v>
      </c>
    </row>
    <row r="7" spans="1:62" ht="30" hidden="1" customHeight="1" thickBot="1" x14ac:dyDescent="0.3">
      <c r="B7" s="26"/>
      <c r="D7" s="45"/>
      <c r="E7" s="45"/>
      <c r="F7" t="str">
        <f>IF(OR(ISBLANK(task_start),ISBLANK(task_end)),"",task_end-task_start+1)</f>
        <v/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</row>
    <row r="8" spans="1:62" s="3" customFormat="1" ht="30" customHeight="1" thickBot="1" x14ac:dyDescent="0.3">
      <c r="A8" s="13" t="s">
        <v>13</v>
      </c>
      <c r="B8" s="30"/>
      <c r="C8" s="14">
        <v>1</v>
      </c>
      <c r="D8" s="47">
        <v>45950</v>
      </c>
      <c r="E8" s="48">
        <v>45970</v>
      </c>
      <c r="F8" s="12">
        <f t="shared" ref="F8:F27" si="6">IF(OR(ISBLANK(task_start),ISBLANK(task_end)),"",task_end-task_start+1)</f>
        <v>21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</row>
    <row r="9" spans="1:62" s="3" customFormat="1" ht="30" customHeight="1" thickBot="1" x14ac:dyDescent="0.3">
      <c r="A9" s="36" t="s">
        <v>16</v>
      </c>
      <c r="B9" s="31" t="s">
        <v>15</v>
      </c>
      <c r="C9" s="15">
        <v>1</v>
      </c>
      <c r="D9" s="49">
        <f>Inicio_del_proyecto</f>
        <v>45950</v>
      </c>
      <c r="E9" s="49">
        <f>D9+6</f>
        <v>45956</v>
      </c>
      <c r="F9" s="12">
        <f t="shared" si="6"/>
        <v>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</row>
    <row r="10" spans="1:62" s="3" customFormat="1" ht="30" customHeight="1" thickBot="1" x14ac:dyDescent="0.3">
      <c r="A10" s="36" t="s">
        <v>17</v>
      </c>
      <c r="B10" s="31" t="s">
        <v>15</v>
      </c>
      <c r="C10" s="15">
        <v>1</v>
      </c>
      <c r="D10" s="49">
        <v>45957</v>
      </c>
      <c r="E10" s="49">
        <v>45968</v>
      </c>
      <c r="F10" s="12">
        <f t="shared" si="6"/>
        <v>12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3"/>
      <c r="T10" s="23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</row>
    <row r="11" spans="1:62" s="3" customFormat="1" ht="30" customHeight="1" thickBot="1" x14ac:dyDescent="0.3">
      <c r="A11" s="36" t="s">
        <v>18</v>
      </c>
      <c r="B11" s="31" t="s">
        <v>15</v>
      </c>
      <c r="C11" s="15">
        <v>1</v>
      </c>
      <c r="D11" s="49">
        <v>45968</v>
      </c>
      <c r="E11" s="49">
        <v>45968</v>
      </c>
      <c r="F11" s="12">
        <f t="shared" si="6"/>
        <v>1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</row>
    <row r="12" spans="1:62" s="3" customFormat="1" ht="30" customHeight="1" thickBot="1" x14ac:dyDescent="0.3">
      <c r="A12" s="36" t="s">
        <v>19</v>
      </c>
      <c r="B12" s="31" t="s">
        <v>15</v>
      </c>
      <c r="C12" s="15">
        <v>1</v>
      </c>
      <c r="D12" s="49">
        <v>45968</v>
      </c>
      <c r="E12" s="49">
        <v>45968</v>
      </c>
      <c r="F12" s="12">
        <f t="shared" si="6"/>
        <v>1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3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</row>
    <row r="13" spans="1:62" s="3" customFormat="1" ht="30" customHeight="1" thickBot="1" x14ac:dyDescent="0.3">
      <c r="A13" s="36" t="s">
        <v>20</v>
      </c>
      <c r="B13" s="31" t="s">
        <v>15</v>
      </c>
      <c r="C13" s="15">
        <v>1</v>
      </c>
      <c r="D13" s="49">
        <v>45969</v>
      </c>
      <c r="E13" s="49">
        <v>45969</v>
      </c>
      <c r="F13" s="12">
        <f t="shared" si="6"/>
        <v>1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</row>
    <row r="14" spans="1:62" s="3" customFormat="1" ht="30" customHeight="1" thickBot="1" x14ac:dyDescent="0.3">
      <c r="A14" s="36" t="s">
        <v>21</v>
      </c>
      <c r="B14" s="31" t="s">
        <v>15</v>
      </c>
      <c r="C14" s="15">
        <v>1</v>
      </c>
      <c r="D14" s="49">
        <v>45969</v>
      </c>
      <c r="E14" s="49">
        <v>45969</v>
      </c>
      <c r="F14" s="12">
        <f t="shared" si="6"/>
        <v>1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</row>
    <row r="15" spans="1:62" s="3" customFormat="1" ht="30" customHeight="1" thickBot="1" x14ac:dyDescent="0.3">
      <c r="A15" s="36" t="s">
        <v>22</v>
      </c>
      <c r="B15" s="31" t="s">
        <v>15</v>
      </c>
      <c r="C15" s="15">
        <v>1</v>
      </c>
      <c r="D15" s="49">
        <v>45969</v>
      </c>
      <c r="E15" s="49">
        <v>45970</v>
      </c>
      <c r="F15" s="12">
        <f t="shared" si="6"/>
        <v>2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</row>
    <row r="16" spans="1:62" s="3" customFormat="1" ht="30" customHeight="1" thickBot="1" x14ac:dyDescent="0.3">
      <c r="A16" s="16" t="s">
        <v>14</v>
      </c>
      <c r="B16" s="32"/>
      <c r="C16" s="17">
        <v>0</v>
      </c>
      <c r="D16" s="50">
        <v>45971</v>
      </c>
      <c r="E16" s="51">
        <v>45984</v>
      </c>
      <c r="F16" s="12">
        <f t="shared" si="6"/>
        <v>14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</row>
    <row r="17" spans="1:62" s="3" customFormat="1" ht="30" customHeight="1" thickBot="1" x14ac:dyDescent="0.3">
      <c r="A17" s="37" t="s">
        <v>1</v>
      </c>
      <c r="B17" s="33" t="s">
        <v>15</v>
      </c>
      <c r="C17" s="18">
        <v>0</v>
      </c>
      <c r="D17" s="52">
        <v>45971</v>
      </c>
      <c r="E17" s="52">
        <v>45984</v>
      </c>
      <c r="F17" s="12">
        <f t="shared" si="6"/>
        <v>14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</row>
    <row r="18" spans="1:62" s="3" customFormat="1" ht="30" customHeight="1" thickBot="1" x14ac:dyDescent="0.3">
      <c r="A18" s="37" t="s">
        <v>2</v>
      </c>
      <c r="B18" s="33" t="s">
        <v>15</v>
      </c>
      <c r="C18" s="18">
        <v>0</v>
      </c>
      <c r="D18" s="52">
        <v>45971</v>
      </c>
      <c r="E18" s="52">
        <v>45984</v>
      </c>
      <c r="F18" s="12">
        <f t="shared" si="6"/>
        <v>14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3"/>
      <c r="T18" s="23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</row>
    <row r="19" spans="1:62" s="3" customFormat="1" ht="30" customHeight="1" thickBot="1" x14ac:dyDescent="0.3">
      <c r="A19" s="37" t="s">
        <v>3</v>
      </c>
      <c r="B19" s="33" t="s">
        <v>15</v>
      </c>
      <c r="C19" s="18">
        <v>0</v>
      </c>
      <c r="D19" s="52">
        <v>45971</v>
      </c>
      <c r="E19" s="52">
        <v>45984</v>
      </c>
      <c r="F19" s="12">
        <f t="shared" si="6"/>
        <v>14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</row>
    <row r="20" spans="1:62" s="3" customFormat="1" ht="30" customHeight="1" thickBot="1" x14ac:dyDescent="0.3">
      <c r="A20" s="37" t="s">
        <v>4</v>
      </c>
      <c r="B20" s="33" t="s">
        <v>15</v>
      </c>
      <c r="C20" s="18">
        <v>0</v>
      </c>
      <c r="D20" s="52">
        <v>45971</v>
      </c>
      <c r="E20" s="52">
        <v>45984</v>
      </c>
      <c r="F20" s="12">
        <f t="shared" si="6"/>
        <v>14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3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</row>
    <row r="21" spans="1:62" s="3" customFormat="1" ht="30" customHeight="1" thickBot="1" x14ac:dyDescent="0.3">
      <c r="A21" s="37" t="s">
        <v>5</v>
      </c>
      <c r="B21" s="33" t="s">
        <v>15</v>
      </c>
      <c r="C21" s="18">
        <v>0</v>
      </c>
      <c r="D21" s="52">
        <v>45971</v>
      </c>
      <c r="E21" s="52">
        <v>45984</v>
      </c>
      <c r="F21" s="12">
        <f t="shared" si="6"/>
        <v>14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</row>
    <row r="22" spans="1:62" s="3" customFormat="1" ht="30" customHeight="1" thickBot="1" x14ac:dyDescent="0.3">
      <c r="A22" s="19" t="s">
        <v>26</v>
      </c>
      <c r="B22" s="34"/>
      <c r="C22" s="20">
        <v>0</v>
      </c>
      <c r="D22" s="53">
        <v>45985</v>
      </c>
      <c r="E22" s="54">
        <v>45998</v>
      </c>
      <c r="F22" s="12">
        <f t="shared" si="6"/>
        <v>14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</row>
    <row r="23" spans="1:62" s="3" customFormat="1" ht="30" customHeight="1" thickBot="1" x14ac:dyDescent="0.3">
      <c r="A23" s="38" t="s">
        <v>1</v>
      </c>
      <c r="B23" s="35" t="s">
        <v>15</v>
      </c>
      <c r="C23" s="21">
        <v>0</v>
      </c>
      <c r="D23" s="55">
        <v>45985</v>
      </c>
      <c r="E23" s="55">
        <v>45998</v>
      </c>
      <c r="F23" s="12">
        <f t="shared" si="6"/>
        <v>14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</row>
    <row r="24" spans="1:62" s="3" customFormat="1" ht="30" customHeight="1" thickBot="1" x14ac:dyDescent="0.3">
      <c r="A24" s="38" t="s">
        <v>2</v>
      </c>
      <c r="B24" s="35" t="s">
        <v>15</v>
      </c>
      <c r="C24" s="21">
        <v>0</v>
      </c>
      <c r="D24" s="55">
        <v>45985</v>
      </c>
      <c r="E24" s="55">
        <v>45998</v>
      </c>
      <c r="F24" s="12">
        <f t="shared" si="6"/>
        <v>14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</row>
    <row r="25" spans="1:62" s="3" customFormat="1" ht="30" customHeight="1" thickBot="1" x14ac:dyDescent="0.3">
      <c r="A25" s="38" t="s">
        <v>3</v>
      </c>
      <c r="B25" s="35" t="s">
        <v>15</v>
      </c>
      <c r="C25" s="21">
        <v>0</v>
      </c>
      <c r="D25" s="55">
        <v>45985</v>
      </c>
      <c r="E25" s="55">
        <v>45998</v>
      </c>
      <c r="F25" s="12">
        <f t="shared" si="6"/>
        <v>14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</row>
    <row r="26" spans="1:62" s="3" customFormat="1" ht="30" customHeight="1" thickBot="1" x14ac:dyDescent="0.3">
      <c r="A26" s="38" t="s">
        <v>4</v>
      </c>
      <c r="B26" s="35" t="s">
        <v>15</v>
      </c>
      <c r="C26" s="21">
        <v>0</v>
      </c>
      <c r="D26" s="55">
        <v>45985</v>
      </c>
      <c r="E26" s="55">
        <v>45998</v>
      </c>
      <c r="F26" s="12">
        <f t="shared" si="6"/>
        <v>14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</row>
    <row r="27" spans="1:62" s="3" customFormat="1" ht="30" customHeight="1" thickBot="1" x14ac:dyDescent="0.3">
      <c r="A27" s="38" t="s">
        <v>5</v>
      </c>
      <c r="B27" s="35" t="s">
        <v>15</v>
      </c>
      <c r="C27" s="21">
        <v>0</v>
      </c>
      <c r="D27" s="55">
        <v>45985</v>
      </c>
      <c r="E27" s="55">
        <v>45998</v>
      </c>
      <c r="F27" s="12">
        <f t="shared" si="6"/>
        <v>14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</row>
    <row r="29" spans="1:62" ht="30" customHeight="1" x14ac:dyDescent="0.25">
      <c r="B29" s="10"/>
      <c r="E29" s="25"/>
    </row>
    <row r="30" spans="1:62" ht="30" customHeight="1" x14ac:dyDescent="0.25">
      <c r="B30" s="11"/>
    </row>
  </sheetData>
  <mergeCells count="11">
    <mergeCell ref="BD4:BJ4"/>
    <mergeCell ref="D3:E3"/>
    <mergeCell ref="G4:M4"/>
    <mergeCell ref="N4:T4"/>
    <mergeCell ref="U4:AA4"/>
    <mergeCell ref="AB4:AH4"/>
    <mergeCell ref="B3:C3"/>
    <mergeCell ref="B4:C4"/>
    <mergeCell ref="AI4:AO4"/>
    <mergeCell ref="AP4:AV4"/>
    <mergeCell ref="AW4:BC4"/>
  </mergeCells>
  <conditionalFormatting sqref="C7:C27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G5:BJ27">
    <cfRule type="expression" dxfId="2" priority="33">
      <formula>AND(TODAY()&gt;=G$5,TODAY()&lt;H$5)</formula>
    </cfRule>
  </conditionalFormatting>
  <conditionalFormatting sqref="G7:BJ27">
    <cfRule type="expression" dxfId="1" priority="27">
      <formula>AND(task_start&lt;=G$5,ROUNDDOWN((task_end-task_start+1)*task_progress,0)+task_start-1&gt;=G$5)</formula>
    </cfRule>
    <cfRule type="expression" dxfId="0" priority="28" stopIfTrue="1">
      <formula>AND(task_end&gt;=G$5,task_start&lt;H$5)</formula>
    </cfRule>
  </conditionalFormatting>
  <dataValidations count="1">
    <dataValidation type="whole" operator="greaterThanOrEqual" allowBlank="1" showInputMessage="1" promptTitle="Mostrar semana" prompt="Al cambiar este número, se desplazará la vista del diagrama de Gantt." sqref="D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50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C7:C27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Gantt</vt:lpstr>
      <vt:lpstr>Inicio_del_proyecto</vt:lpstr>
      <vt:lpstr>Semana_para_mostrar</vt:lpstr>
      <vt:lpstr>Gantt!task_end</vt:lpstr>
      <vt:lpstr>Gantt!task_progress</vt:lpstr>
      <vt:lpstr>Gantt!task_start</vt:lpstr>
      <vt:lpstr>Gantt!Títulos_a_imprimir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2025-11-09T13:32:41Z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